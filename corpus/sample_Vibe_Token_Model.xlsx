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price_per_instance</t>
        </is>
      </c>
      <c r="B2" t="n">
        <v>9</v>
      </c>
      <c r="C2" t="inlineStr">
        <is>
          <t>Monthly price per wedding instance</t>
        </is>
      </c>
    </row>
    <row r="3">
      <c r="A3" t="inlineStr">
        <is>
          <t>payment_fee_rate</t>
        </is>
      </c>
      <c r="B3" t="n">
        <v>0.1</v>
      </c>
      <c r="C3" t="inlineStr">
        <is>
          <t>Payment processor fee rate</t>
        </is>
      </c>
    </row>
    <row r="4">
      <c r="A4" t="inlineStr">
        <is>
          <t>alpha</t>
        </is>
      </c>
      <c r="B4" t="n">
        <v>0.2</v>
      </c>
      <c r="C4" t="inlineStr">
        <is>
          <t>Revenue share percentage</t>
        </is>
      </c>
    </row>
    <row r="5">
      <c r="A5" t="inlineStr">
        <is>
          <t>k</t>
        </is>
      </c>
      <c r="B5" t="n">
        <v>0.5</v>
      </c>
      <c r="C5" t="inlineStr">
        <is>
          <t>Price constant for token pricing</t>
        </is>
      </c>
    </row>
    <row r="6">
      <c r="A6" t="inlineStr">
        <is>
          <t>base_new_instances</t>
        </is>
      </c>
      <c r="B6" t="n">
        <v>8</v>
      </c>
      <c r="C6" t="inlineStr">
        <is>
          <t>Base new instances per month</t>
        </is>
      </c>
    </row>
    <row r="7">
      <c r="A7" t="inlineStr">
        <is>
          <t>growth_trend_end</t>
        </is>
      </c>
      <c r="B7" t="n">
        <v>40</v>
      </c>
      <c r="C7" t="inlineStr">
        <is>
          <t>Additional new instances by month 60</t>
        </is>
      </c>
    </row>
    <row r="8">
      <c r="A8" t="inlineStr">
        <is>
          <t>avg_lifetime_months</t>
        </is>
      </c>
      <c r="B8" t="n">
        <v>5</v>
      </c>
      <c r="C8" t="inlineStr">
        <is>
          <t>Average customer lifetime</t>
        </is>
      </c>
    </row>
    <row r="9">
      <c r="A9" t="inlineStr">
        <is>
          <t>sell_pressure</t>
        </is>
      </c>
      <c r="B9" t="n">
        <v>0.1</v>
      </c>
      <c r="C9" t="inlineStr">
        <is>
          <t>Fraction of token supply sold monthly</t>
        </is>
      </c>
    </row>
    <row r="10">
      <c r="A10" t="inlineStr">
        <is>
          <t>months</t>
        </is>
      </c>
      <c r="B10" t="n">
        <v>60</v>
      </c>
      <c r="C10" t="inlineStr">
        <is>
          <t>Simulation length in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 Instances</t>
        </is>
      </c>
      <c r="C1" t="inlineStr">
        <is>
          <t>Active Instances</t>
        </is>
      </c>
      <c r="D1" t="inlineStr">
        <is>
          <t>Net Revenue ($)</t>
        </is>
      </c>
      <c r="E1" t="inlineStr">
        <is>
          <t>Cumulative Revenue ($)</t>
        </is>
      </c>
      <c r="F1" t="inlineStr">
        <is>
          <t>Token Price ($)</t>
        </is>
      </c>
      <c r="G1" t="inlineStr">
        <is>
          <t>Tokens Minted</t>
        </is>
      </c>
      <c r="H1" t="inlineStr">
        <is>
          <t>Tokens Burned</t>
        </is>
      </c>
      <c r="I1" t="inlineStr">
        <is>
          <t>Token Supply</t>
        </is>
      </c>
      <c r="J1" t="inlineStr">
        <is>
          <t>Monthly Payout Pool ($)</t>
        </is>
      </c>
      <c r="K1" t="inlineStr">
        <is>
          <t>Payout per Token ($)</t>
        </is>
      </c>
    </row>
    <row r="2">
      <c r="A2" t="n">
        <v>1</v>
      </c>
      <c r="B2">
        <f>Parameters!B6 + SIN(1/60*10*PI())*5 + (1/60)*Parameters!B7</f>
        <v/>
      </c>
      <c r="C2">
        <f>B2</f>
        <v/>
      </c>
      <c r="D2">
        <f>C2*Parameters!B2*(1-Parameters!B3)</f>
        <v/>
      </c>
      <c r="E2">
        <f>D2</f>
        <v/>
      </c>
      <c r="F2">
        <f>Parameters!B5*SQRT(E2)</f>
        <v/>
      </c>
      <c r="G2">
        <f>(Parameters!B4*D2)/F2</f>
        <v/>
      </c>
      <c r="H2" t="n">
        <v>0</v>
      </c>
      <c r="I2">
        <f>G2</f>
        <v/>
      </c>
      <c r="J2">
        <f>Parameters!B4*D2</f>
        <v/>
      </c>
      <c r="K2">
        <f>IF(I2&gt;0,J2/I2,0)</f>
        <v/>
      </c>
    </row>
    <row r="3">
      <c r="A3" t="n">
        <v>2</v>
      </c>
      <c r="B3">
        <f>Parameters!B6 + SIN(2/60*10*PI())*5 + (2/60)*Parameters!B7</f>
        <v/>
      </c>
      <c r="C3">
        <f>C2*(1-1/Parameters!B8)+B3</f>
        <v/>
      </c>
      <c r="D3">
        <f>C3*Parameters!B2*(1-Parameters!B3)</f>
        <v/>
      </c>
      <c r="E3">
        <f>E2+D3</f>
        <v/>
      </c>
      <c r="F3">
        <f>Parameters!B5*SQRT(E3)</f>
        <v/>
      </c>
      <c r="G3">
        <f>(Parameters!B4*D3)/F3</f>
        <v/>
      </c>
      <c r="H3">
        <f>I2*Parameters!B9</f>
        <v/>
      </c>
      <c r="I3">
        <f>I2+G3-H3</f>
        <v/>
      </c>
      <c r="J3">
        <f>Parameters!B4*D3</f>
        <v/>
      </c>
      <c r="K3">
        <f>IF(I3&gt;0,J3/I3,0)</f>
        <v/>
      </c>
    </row>
    <row r="4">
      <c r="A4" t="n">
        <v>3</v>
      </c>
      <c r="B4">
        <f>Parameters!B6 + SIN(3/60*10*PI())*5 + (3/60)*Parameters!B7</f>
        <v/>
      </c>
      <c r="C4">
        <f>C3*(1-1/Parameters!B8)+B4</f>
        <v/>
      </c>
      <c r="D4">
        <f>C4*Parameters!B2*(1-Parameters!B3)</f>
        <v/>
      </c>
      <c r="E4">
        <f>E3+D4</f>
        <v/>
      </c>
      <c r="F4">
        <f>Parameters!B5*SQRT(E4)</f>
        <v/>
      </c>
      <c r="G4">
        <f>(Parameters!B4*D4)/F4</f>
        <v/>
      </c>
      <c r="H4">
        <f>I3*Parameters!B9</f>
        <v/>
      </c>
      <c r="I4">
        <f>I3+G4-H4</f>
        <v/>
      </c>
      <c r="J4">
        <f>Parameters!B4*D4</f>
        <v/>
      </c>
      <c r="K4">
        <f>IF(I4&gt;0,J4/I4,0)</f>
        <v/>
      </c>
    </row>
    <row r="5">
      <c r="A5" t="n">
        <v>4</v>
      </c>
      <c r="B5">
        <f>Parameters!B6 + SIN(4/60*10*PI())*5 + (4/60)*Parameters!B7</f>
        <v/>
      </c>
      <c r="C5">
        <f>C4*(1-1/Parameters!B8)+B5</f>
        <v/>
      </c>
      <c r="D5">
        <f>C5*Parameters!B2*(1-Parameters!B3)</f>
        <v/>
      </c>
      <c r="E5">
        <f>E4+D5</f>
        <v/>
      </c>
      <c r="F5">
        <f>Parameters!B5*SQRT(E5)</f>
        <v/>
      </c>
      <c r="G5">
        <f>(Parameters!B4*D5)/F5</f>
        <v/>
      </c>
      <c r="H5">
        <f>I4*Parameters!B9</f>
        <v/>
      </c>
      <c r="I5">
        <f>I4+G5-H5</f>
        <v/>
      </c>
      <c r="J5">
        <f>Parameters!B4*D5</f>
        <v/>
      </c>
      <c r="K5">
        <f>IF(I5&gt;0,J5/I5,0)</f>
        <v/>
      </c>
    </row>
    <row r="6">
      <c r="A6" t="n">
        <v>5</v>
      </c>
      <c r="B6">
        <f>Parameters!B6 + SIN(5/60*10*PI())*5 + (5/60)*Parameters!B7</f>
        <v/>
      </c>
      <c r="C6">
        <f>C5*(1-1/Parameters!B8)+B6</f>
        <v/>
      </c>
      <c r="D6">
        <f>C6*Parameters!B2*(1-Parameters!B3)</f>
        <v/>
      </c>
      <c r="E6">
        <f>E5+D6</f>
        <v/>
      </c>
      <c r="F6">
        <f>Parameters!B5*SQRT(E6)</f>
        <v/>
      </c>
      <c r="G6">
        <f>(Parameters!B4*D6)/F6</f>
        <v/>
      </c>
      <c r="H6">
        <f>I5*Parameters!B9</f>
        <v/>
      </c>
      <c r="I6">
        <f>I5+G6-H6</f>
        <v/>
      </c>
      <c r="J6">
        <f>Parameters!B4*D6</f>
        <v/>
      </c>
      <c r="K6">
        <f>IF(I6&gt;0,J6/I6,0)</f>
        <v/>
      </c>
    </row>
    <row r="7">
      <c r="A7" t="n">
        <v>6</v>
      </c>
      <c r="B7">
        <f>Parameters!B6 + SIN(6/60*10*PI())*5 + (6/60)*Parameters!B7</f>
        <v/>
      </c>
      <c r="C7">
        <f>C6*(1-1/Parameters!B8)+B7</f>
        <v/>
      </c>
      <c r="D7">
        <f>C7*Parameters!B2*(1-Parameters!B3)</f>
        <v/>
      </c>
      <c r="E7">
        <f>E6+D7</f>
        <v/>
      </c>
      <c r="F7">
        <f>Parameters!B5*SQRT(E7)</f>
        <v/>
      </c>
      <c r="G7">
        <f>(Parameters!B4*D7)/F7</f>
        <v/>
      </c>
      <c r="H7">
        <f>I6*Parameters!B9</f>
        <v/>
      </c>
      <c r="I7">
        <f>I6+G7-H7</f>
        <v/>
      </c>
      <c r="J7">
        <f>Parameters!B4*D7</f>
        <v/>
      </c>
      <c r="K7">
        <f>IF(I7&gt;0,J7/I7,0)</f>
        <v/>
      </c>
    </row>
    <row r="8">
      <c r="A8" t="n">
        <v>7</v>
      </c>
      <c r="B8">
        <f>Parameters!B6 + SIN(7/60*10*PI())*5 + (7/60)*Parameters!B7</f>
        <v/>
      </c>
      <c r="C8">
        <f>C7*(1-1/Parameters!B8)+B8</f>
        <v/>
      </c>
      <c r="D8">
        <f>C8*Parameters!B2*(1-Parameters!B3)</f>
        <v/>
      </c>
      <c r="E8">
        <f>E7+D8</f>
        <v/>
      </c>
      <c r="F8">
        <f>Parameters!B5*SQRT(E8)</f>
        <v/>
      </c>
      <c r="G8">
        <f>(Parameters!B4*D8)/F8</f>
        <v/>
      </c>
      <c r="H8">
        <f>I7*Parameters!B9</f>
        <v/>
      </c>
      <c r="I8">
        <f>I7+G8-H8</f>
        <v/>
      </c>
      <c r="J8">
        <f>Parameters!B4*D8</f>
        <v/>
      </c>
      <c r="K8">
        <f>IF(I8&gt;0,J8/I8,0)</f>
        <v/>
      </c>
    </row>
    <row r="9">
      <c r="A9" t="n">
        <v>8</v>
      </c>
      <c r="B9">
        <f>Parameters!B6 + SIN(8/60*10*PI())*5 + (8/60)*Parameters!B7</f>
        <v/>
      </c>
      <c r="C9">
        <f>C8*(1-1/Parameters!B8)+B9</f>
        <v/>
      </c>
      <c r="D9">
        <f>C9*Parameters!B2*(1-Parameters!B3)</f>
        <v/>
      </c>
      <c r="E9">
        <f>E8+D9</f>
        <v/>
      </c>
      <c r="F9">
        <f>Parameters!B5*SQRT(E9)</f>
        <v/>
      </c>
      <c r="G9">
        <f>(Parameters!B4*D9)/F9</f>
        <v/>
      </c>
      <c r="H9">
        <f>I8*Parameters!B9</f>
        <v/>
      </c>
      <c r="I9">
        <f>I8+G9-H9</f>
        <v/>
      </c>
      <c r="J9">
        <f>Parameters!B4*D9</f>
        <v/>
      </c>
      <c r="K9">
        <f>IF(I9&gt;0,J9/I9,0)</f>
        <v/>
      </c>
    </row>
    <row r="10">
      <c r="A10" t="n">
        <v>9</v>
      </c>
      <c r="B10">
        <f>Parameters!B6 + SIN(9/60*10*PI())*5 + (9/60)*Parameters!B7</f>
        <v/>
      </c>
      <c r="C10">
        <f>C9*(1-1/Parameters!B8)+B10</f>
        <v/>
      </c>
      <c r="D10">
        <f>C10*Parameters!B2*(1-Parameters!B3)</f>
        <v/>
      </c>
      <c r="E10">
        <f>E9+D10</f>
        <v/>
      </c>
      <c r="F10">
        <f>Parameters!B5*SQRT(E10)</f>
        <v/>
      </c>
      <c r="G10">
        <f>(Parameters!B4*D10)/F10</f>
        <v/>
      </c>
      <c r="H10">
        <f>I9*Parameters!B9</f>
        <v/>
      </c>
      <c r="I10">
        <f>I9+G10-H10</f>
        <v/>
      </c>
      <c r="J10">
        <f>Parameters!B4*D10</f>
        <v/>
      </c>
      <c r="K10">
        <f>IF(I10&gt;0,J10/I10,0)</f>
        <v/>
      </c>
    </row>
    <row r="11">
      <c r="A11" t="n">
        <v>10</v>
      </c>
      <c r="B11">
        <f>Parameters!B6 + SIN(10/60*10*PI())*5 + (10/60)*Parameters!B7</f>
        <v/>
      </c>
      <c r="C11">
        <f>C10*(1-1/Parameters!B8)+B11</f>
        <v/>
      </c>
      <c r="D11">
        <f>C11*Parameters!B2*(1-Parameters!B3)</f>
        <v/>
      </c>
      <c r="E11">
        <f>E10+D11</f>
        <v/>
      </c>
      <c r="F11">
        <f>Parameters!B5*SQRT(E11)</f>
        <v/>
      </c>
      <c r="G11">
        <f>(Parameters!B4*D11)/F11</f>
        <v/>
      </c>
      <c r="H11">
        <f>I10*Parameters!B9</f>
        <v/>
      </c>
      <c r="I11">
        <f>I10+G11-H11</f>
        <v/>
      </c>
      <c r="J11">
        <f>Parameters!B4*D11</f>
        <v/>
      </c>
      <c r="K11">
        <f>IF(I11&gt;0,J11/I11,0)</f>
        <v/>
      </c>
    </row>
    <row r="12">
      <c r="A12" t="n">
        <v>11</v>
      </c>
      <c r="B12">
        <f>Parameters!B6 + SIN(11/60*10*PI())*5 + (11/60)*Parameters!B7</f>
        <v/>
      </c>
      <c r="C12">
        <f>C11*(1-1/Parameters!B8)+B12</f>
        <v/>
      </c>
      <c r="D12">
        <f>C12*Parameters!B2*(1-Parameters!B3)</f>
        <v/>
      </c>
      <c r="E12">
        <f>E11+D12</f>
        <v/>
      </c>
      <c r="F12">
        <f>Parameters!B5*SQRT(E12)</f>
        <v/>
      </c>
      <c r="G12">
        <f>(Parameters!B4*D12)/F12</f>
        <v/>
      </c>
      <c r="H12">
        <f>I11*Parameters!B9</f>
        <v/>
      </c>
      <c r="I12">
        <f>I11+G12-H12</f>
        <v/>
      </c>
      <c r="J12">
        <f>Parameters!B4*D12</f>
        <v/>
      </c>
      <c r="K12">
        <f>IF(I12&gt;0,J12/I12,0)</f>
        <v/>
      </c>
    </row>
    <row r="13">
      <c r="A13" t="n">
        <v>12</v>
      </c>
      <c r="B13">
        <f>Parameters!B6 + SIN(12/60*10*PI())*5 + (12/60)*Parameters!B7</f>
        <v/>
      </c>
      <c r="C13">
        <f>C12*(1-1/Parameters!B8)+B13</f>
        <v/>
      </c>
      <c r="D13">
        <f>C13*Parameters!B2*(1-Parameters!B3)</f>
        <v/>
      </c>
      <c r="E13">
        <f>E12+D13</f>
        <v/>
      </c>
      <c r="F13">
        <f>Parameters!B5*SQRT(E13)</f>
        <v/>
      </c>
      <c r="G13">
        <f>(Parameters!B4*D13)/F13</f>
        <v/>
      </c>
      <c r="H13">
        <f>I12*Parameters!B9</f>
        <v/>
      </c>
      <c r="I13">
        <f>I12+G13-H13</f>
        <v/>
      </c>
      <c r="J13">
        <f>Parameters!B4*D13</f>
        <v/>
      </c>
      <c r="K13">
        <f>IF(I13&gt;0,J13/I13,0)</f>
        <v/>
      </c>
    </row>
    <row r="14">
      <c r="A14" t="n">
        <v>13</v>
      </c>
      <c r="B14">
        <f>Parameters!B6 + SIN(13/60*10*PI())*5 + (13/60)*Parameters!B7</f>
        <v/>
      </c>
      <c r="C14">
        <f>C13*(1-1/Parameters!B8)+B14</f>
        <v/>
      </c>
      <c r="D14">
        <f>C14*Parameters!B2*(1-Parameters!B3)</f>
        <v/>
      </c>
      <c r="E14">
        <f>E13+D14</f>
        <v/>
      </c>
      <c r="F14">
        <f>Parameters!B5*SQRT(E14)</f>
        <v/>
      </c>
      <c r="G14">
        <f>(Parameters!B4*D14)/F14</f>
        <v/>
      </c>
      <c r="H14">
        <f>I13*Parameters!B9</f>
        <v/>
      </c>
      <c r="I14">
        <f>I13+G14-H14</f>
        <v/>
      </c>
      <c r="J14">
        <f>Parameters!B4*D14</f>
        <v/>
      </c>
      <c r="K14">
        <f>IF(I14&gt;0,J14/I14,0)</f>
        <v/>
      </c>
    </row>
    <row r="15">
      <c r="A15" t="n">
        <v>14</v>
      </c>
      <c r="B15">
        <f>Parameters!B6 + SIN(14/60*10*PI())*5 + (14/60)*Parameters!B7</f>
        <v/>
      </c>
      <c r="C15">
        <f>C14*(1-1/Parameters!B8)+B15</f>
        <v/>
      </c>
      <c r="D15">
        <f>C15*Parameters!B2*(1-Parameters!B3)</f>
        <v/>
      </c>
      <c r="E15">
        <f>E14+D15</f>
        <v/>
      </c>
      <c r="F15">
        <f>Parameters!B5*SQRT(E15)</f>
        <v/>
      </c>
      <c r="G15">
        <f>(Parameters!B4*D15)/F15</f>
        <v/>
      </c>
      <c r="H15">
        <f>I14*Parameters!B9</f>
        <v/>
      </c>
      <c r="I15">
        <f>I14+G15-H15</f>
        <v/>
      </c>
      <c r="J15">
        <f>Parameters!B4*D15</f>
        <v/>
      </c>
      <c r="K15">
        <f>IF(I15&gt;0,J15/I15,0)</f>
        <v/>
      </c>
    </row>
    <row r="16">
      <c r="A16" t="n">
        <v>15</v>
      </c>
      <c r="B16">
        <f>Parameters!B6 + SIN(15/60*10*PI())*5 + (15/60)*Parameters!B7</f>
        <v/>
      </c>
      <c r="C16">
        <f>C15*(1-1/Parameters!B8)+B16</f>
        <v/>
      </c>
      <c r="D16">
        <f>C16*Parameters!B2*(1-Parameters!B3)</f>
        <v/>
      </c>
      <c r="E16">
        <f>E15+D16</f>
        <v/>
      </c>
      <c r="F16">
        <f>Parameters!B5*SQRT(E16)</f>
        <v/>
      </c>
      <c r="G16">
        <f>(Parameters!B4*D16)/F16</f>
        <v/>
      </c>
      <c r="H16">
        <f>I15*Parameters!B9</f>
        <v/>
      </c>
      <c r="I16">
        <f>I15+G16-H16</f>
        <v/>
      </c>
      <c r="J16">
        <f>Parameters!B4*D16</f>
        <v/>
      </c>
      <c r="K16">
        <f>IF(I16&gt;0,J16/I16,0)</f>
        <v/>
      </c>
    </row>
    <row r="17">
      <c r="A17" t="n">
        <v>16</v>
      </c>
      <c r="B17">
        <f>Parameters!B6 + SIN(16/60*10*PI())*5 + (16/60)*Parameters!B7</f>
        <v/>
      </c>
      <c r="C17">
        <f>C16*(1-1/Parameters!B8)+B17</f>
        <v/>
      </c>
      <c r="D17">
        <f>C17*Parameters!B2*(1-Parameters!B3)</f>
        <v/>
      </c>
      <c r="E17">
        <f>E16+D17</f>
        <v/>
      </c>
      <c r="F17">
        <f>Parameters!B5*SQRT(E17)</f>
        <v/>
      </c>
      <c r="G17">
        <f>(Parameters!B4*D17)/F17</f>
        <v/>
      </c>
      <c r="H17">
        <f>I16*Parameters!B9</f>
        <v/>
      </c>
      <c r="I17">
        <f>I16+G17-H17</f>
        <v/>
      </c>
      <c r="J17">
        <f>Parameters!B4*D17</f>
        <v/>
      </c>
      <c r="K17">
        <f>IF(I17&gt;0,J17/I17,0)</f>
        <v/>
      </c>
    </row>
    <row r="18">
      <c r="A18" t="n">
        <v>17</v>
      </c>
      <c r="B18">
        <f>Parameters!B6 + SIN(17/60*10*PI())*5 + (17/60)*Parameters!B7</f>
        <v/>
      </c>
      <c r="C18">
        <f>C17*(1-1/Parameters!B8)+B18</f>
        <v/>
      </c>
      <c r="D18">
        <f>C18*Parameters!B2*(1-Parameters!B3)</f>
        <v/>
      </c>
      <c r="E18">
        <f>E17+D18</f>
        <v/>
      </c>
      <c r="F18">
        <f>Parameters!B5*SQRT(E18)</f>
        <v/>
      </c>
      <c r="G18">
        <f>(Parameters!B4*D18)/F18</f>
        <v/>
      </c>
      <c r="H18">
        <f>I17*Parameters!B9</f>
        <v/>
      </c>
      <c r="I18">
        <f>I17+G18-H18</f>
        <v/>
      </c>
      <c r="J18">
        <f>Parameters!B4*D18</f>
        <v/>
      </c>
      <c r="K18">
        <f>IF(I18&gt;0,J18/I18,0)</f>
        <v/>
      </c>
    </row>
    <row r="19">
      <c r="A19" t="n">
        <v>18</v>
      </c>
      <c r="B19">
        <f>Parameters!B6 + SIN(18/60*10*PI())*5 + (18/60)*Parameters!B7</f>
        <v/>
      </c>
      <c r="C19">
        <f>C18*(1-1/Parameters!B8)+B19</f>
        <v/>
      </c>
      <c r="D19">
        <f>C19*Parameters!B2*(1-Parameters!B3)</f>
        <v/>
      </c>
      <c r="E19">
        <f>E18+D19</f>
        <v/>
      </c>
      <c r="F19">
        <f>Parameters!B5*SQRT(E19)</f>
        <v/>
      </c>
      <c r="G19">
        <f>(Parameters!B4*D19)/F19</f>
        <v/>
      </c>
      <c r="H19">
        <f>I18*Parameters!B9</f>
        <v/>
      </c>
      <c r="I19">
        <f>I18+G19-H19</f>
        <v/>
      </c>
      <c r="J19">
        <f>Parameters!B4*D19</f>
        <v/>
      </c>
      <c r="K19">
        <f>IF(I19&gt;0,J19/I19,0)</f>
        <v/>
      </c>
    </row>
    <row r="20">
      <c r="A20" t="n">
        <v>19</v>
      </c>
      <c r="B20">
        <f>Parameters!B6 + SIN(19/60*10*PI())*5 + (19/60)*Parameters!B7</f>
        <v/>
      </c>
      <c r="C20">
        <f>C19*(1-1/Parameters!B8)+B20</f>
        <v/>
      </c>
      <c r="D20">
        <f>C20*Parameters!B2*(1-Parameters!B3)</f>
        <v/>
      </c>
      <c r="E20">
        <f>E19+D20</f>
        <v/>
      </c>
      <c r="F20">
        <f>Parameters!B5*SQRT(E20)</f>
        <v/>
      </c>
      <c r="G20">
        <f>(Parameters!B4*D20)/F20</f>
        <v/>
      </c>
      <c r="H20">
        <f>I19*Parameters!B9</f>
        <v/>
      </c>
      <c r="I20">
        <f>I19+G20-H20</f>
        <v/>
      </c>
      <c r="J20">
        <f>Parameters!B4*D20</f>
        <v/>
      </c>
      <c r="K20">
        <f>IF(I20&gt;0,J20/I20,0)</f>
        <v/>
      </c>
    </row>
    <row r="21">
      <c r="A21" t="n">
        <v>20</v>
      </c>
      <c r="B21">
        <f>Parameters!B6 + SIN(20/60*10*PI())*5 + (20/60)*Parameters!B7</f>
        <v/>
      </c>
      <c r="C21">
        <f>C20*(1-1/Parameters!B8)+B21</f>
        <v/>
      </c>
      <c r="D21">
        <f>C21*Parameters!B2*(1-Parameters!B3)</f>
        <v/>
      </c>
      <c r="E21">
        <f>E20+D21</f>
        <v/>
      </c>
      <c r="F21">
        <f>Parameters!B5*SQRT(E21)</f>
        <v/>
      </c>
      <c r="G21">
        <f>(Parameters!B4*D21)/F21</f>
        <v/>
      </c>
      <c r="H21">
        <f>I20*Parameters!B9</f>
        <v/>
      </c>
      <c r="I21">
        <f>I20+G21-H21</f>
        <v/>
      </c>
      <c r="J21">
        <f>Parameters!B4*D21</f>
        <v/>
      </c>
      <c r="K21">
        <f>IF(I21&gt;0,J21/I21,0)</f>
        <v/>
      </c>
    </row>
    <row r="22">
      <c r="A22" t="n">
        <v>21</v>
      </c>
      <c r="B22">
        <f>Parameters!B6 + SIN(21/60*10*PI())*5 + (21/60)*Parameters!B7</f>
        <v/>
      </c>
      <c r="C22">
        <f>C21*(1-1/Parameters!B8)+B22</f>
        <v/>
      </c>
      <c r="D22">
        <f>C22*Parameters!B2*(1-Parameters!B3)</f>
        <v/>
      </c>
      <c r="E22">
        <f>E21+D22</f>
        <v/>
      </c>
      <c r="F22">
        <f>Parameters!B5*SQRT(E22)</f>
        <v/>
      </c>
      <c r="G22">
        <f>(Parameters!B4*D22)/F22</f>
        <v/>
      </c>
      <c r="H22">
        <f>I21*Parameters!B9</f>
        <v/>
      </c>
      <c r="I22">
        <f>I21+G22-H22</f>
        <v/>
      </c>
      <c r="J22">
        <f>Parameters!B4*D22</f>
        <v/>
      </c>
      <c r="K22">
        <f>IF(I22&gt;0,J22/I22,0)</f>
        <v/>
      </c>
    </row>
    <row r="23">
      <c r="A23" t="n">
        <v>22</v>
      </c>
      <c r="B23">
        <f>Parameters!B6 + SIN(22/60*10*PI())*5 + (22/60)*Parameters!B7</f>
        <v/>
      </c>
      <c r="C23">
        <f>C22*(1-1/Parameters!B8)+B23</f>
        <v/>
      </c>
      <c r="D23">
        <f>C23*Parameters!B2*(1-Parameters!B3)</f>
        <v/>
      </c>
      <c r="E23">
        <f>E22+D23</f>
        <v/>
      </c>
      <c r="F23">
        <f>Parameters!B5*SQRT(E23)</f>
        <v/>
      </c>
      <c r="G23">
        <f>(Parameters!B4*D23)/F23</f>
        <v/>
      </c>
      <c r="H23">
        <f>I22*Parameters!B9</f>
        <v/>
      </c>
      <c r="I23">
        <f>I22+G23-H23</f>
        <v/>
      </c>
      <c r="J23">
        <f>Parameters!B4*D23</f>
        <v/>
      </c>
      <c r="K23">
        <f>IF(I23&gt;0,J23/I23,0)</f>
        <v/>
      </c>
    </row>
    <row r="24">
      <c r="A24" t="n">
        <v>23</v>
      </c>
      <c r="B24">
        <f>Parameters!B6 + SIN(23/60*10*PI())*5 + (23/60)*Parameters!B7</f>
        <v/>
      </c>
      <c r="C24">
        <f>C23*(1-1/Parameters!B8)+B24</f>
        <v/>
      </c>
      <c r="D24">
        <f>C24*Parameters!B2*(1-Parameters!B3)</f>
        <v/>
      </c>
      <c r="E24">
        <f>E23+D24</f>
        <v/>
      </c>
      <c r="F24">
        <f>Parameters!B5*SQRT(E24)</f>
        <v/>
      </c>
      <c r="G24">
        <f>(Parameters!B4*D24)/F24</f>
        <v/>
      </c>
      <c r="H24">
        <f>I23*Parameters!B9</f>
        <v/>
      </c>
      <c r="I24">
        <f>I23+G24-H24</f>
        <v/>
      </c>
      <c r="J24">
        <f>Parameters!B4*D24</f>
        <v/>
      </c>
      <c r="K24">
        <f>IF(I24&gt;0,J24/I24,0)</f>
        <v/>
      </c>
    </row>
    <row r="25">
      <c r="A25" t="n">
        <v>24</v>
      </c>
      <c r="B25">
        <f>Parameters!B6 + SIN(24/60*10*PI())*5 + (24/60)*Parameters!B7</f>
        <v/>
      </c>
      <c r="C25">
        <f>C24*(1-1/Parameters!B8)+B25</f>
        <v/>
      </c>
      <c r="D25">
        <f>C25*Parameters!B2*(1-Parameters!B3)</f>
        <v/>
      </c>
      <c r="E25">
        <f>E24+D25</f>
        <v/>
      </c>
      <c r="F25">
        <f>Parameters!B5*SQRT(E25)</f>
        <v/>
      </c>
      <c r="G25">
        <f>(Parameters!B4*D25)/F25</f>
        <v/>
      </c>
      <c r="H25">
        <f>I24*Parameters!B9</f>
        <v/>
      </c>
      <c r="I25">
        <f>I24+G25-H25</f>
        <v/>
      </c>
      <c r="J25">
        <f>Parameters!B4*D25</f>
        <v/>
      </c>
      <c r="K25">
        <f>IF(I25&gt;0,J25/I25,0)</f>
        <v/>
      </c>
    </row>
    <row r="26">
      <c r="A26" t="n">
        <v>25</v>
      </c>
      <c r="B26">
        <f>Parameters!B6 + SIN(25/60*10*PI())*5 + (25/60)*Parameters!B7</f>
        <v/>
      </c>
      <c r="C26">
        <f>C25*(1-1/Parameters!B8)+B26</f>
        <v/>
      </c>
      <c r="D26">
        <f>C26*Parameters!B2*(1-Parameters!B3)</f>
        <v/>
      </c>
      <c r="E26">
        <f>E25+D26</f>
        <v/>
      </c>
      <c r="F26">
        <f>Parameters!B5*SQRT(E26)</f>
        <v/>
      </c>
      <c r="G26">
        <f>(Parameters!B4*D26)/F26</f>
        <v/>
      </c>
      <c r="H26">
        <f>I25*Parameters!B9</f>
        <v/>
      </c>
      <c r="I26">
        <f>I25+G26-H26</f>
        <v/>
      </c>
      <c r="J26">
        <f>Parameters!B4*D26</f>
        <v/>
      </c>
      <c r="K26">
        <f>IF(I26&gt;0,J26/I26,0)</f>
        <v/>
      </c>
    </row>
    <row r="27">
      <c r="A27" t="n">
        <v>26</v>
      </c>
      <c r="B27">
        <f>Parameters!B6 + SIN(26/60*10*PI())*5 + (26/60)*Parameters!B7</f>
        <v/>
      </c>
      <c r="C27">
        <f>C26*(1-1/Parameters!B8)+B27</f>
        <v/>
      </c>
      <c r="D27">
        <f>C27*Parameters!B2*(1-Parameters!B3)</f>
        <v/>
      </c>
      <c r="E27">
        <f>E26+D27</f>
        <v/>
      </c>
      <c r="F27">
        <f>Parameters!B5*SQRT(E27)</f>
        <v/>
      </c>
      <c r="G27">
        <f>(Parameters!B4*D27)/F27</f>
        <v/>
      </c>
      <c r="H27">
        <f>I26*Parameters!B9</f>
        <v/>
      </c>
      <c r="I27">
        <f>I26+G27-H27</f>
        <v/>
      </c>
      <c r="J27">
        <f>Parameters!B4*D27</f>
        <v/>
      </c>
      <c r="K27">
        <f>IF(I27&gt;0,J27/I27,0)</f>
        <v/>
      </c>
    </row>
    <row r="28">
      <c r="A28" t="n">
        <v>27</v>
      </c>
      <c r="B28">
        <f>Parameters!B6 + SIN(27/60*10*PI())*5 + (27/60)*Parameters!B7</f>
        <v/>
      </c>
      <c r="C28">
        <f>C27*(1-1/Parameters!B8)+B28</f>
        <v/>
      </c>
      <c r="D28">
        <f>C28*Parameters!B2*(1-Parameters!B3)</f>
        <v/>
      </c>
      <c r="E28">
        <f>E27+D28</f>
        <v/>
      </c>
      <c r="F28">
        <f>Parameters!B5*SQRT(E28)</f>
        <v/>
      </c>
      <c r="G28">
        <f>(Parameters!B4*D28)/F28</f>
        <v/>
      </c>
      <c r="H28">
        <f>I27*Parameters!B9</f>
        <v/>
      </c>
      <c r="I28">
        <f>I27+G28-H28</f>
        <v/>
      </c>
      <c r="J28">
        <f>Parameters!B4*D28</f>
        <v/>
      </c>
      <c r="K28">
        <f>IF(I28&gt;0,J28/I28,0)</f>
        <v/>
      </c>
    </row>
    <row r="29">
      <c r="A29" t="n">
        <v>28</v>
      </c>
      <c r="B29">
        <f>Parameters!B6 + SIN(28/60*10*PI())*5 + (28/60)*Parameters!B7</f>
        <v/>
      </c>
      <c r="C29">
        <f>C28*(1-1/Parameters!B8)+B29</f>
        <v/>
      </c>
      <c r="D29">
        <f>C29*Parameters!B2*(1-Parameters!B3)</f>
        <v/>
      </c>
      <c r="E29">
        <f>E28+D29</f>
        <v/>
      </c>
      <c r="F29">
        <f>Parameters!B5*SQRT(E29)</f>
        <v/>
      </c>
      <c r="G29">
        <f>(Parameters!B4*D29)/F29</f>
        <v/>
      </c>
      <c r="H29">
        <f>I28*Parameters!B9</f>
        <v/>
      </c>
      <c r="I29">
        <f>I28+G29-H29</f>
        <v/>
      </c>
      <c r="J29">
        <f>Parameters!B4*D29</f>
        <v/>
      </c>
      <c r="K29">
        <f>IF(I29&gt;0,J29/I29,0)</f>
        <v/>
      </c>
    </row>
    <row r="30">
      <c r="A30" t="n">
        <v>29</v>
      </c>
      <c r="B30">
        <f>Parameters!B6 + SIN(29/60*10*PI())*5 + (29/60)*Parameters!B7</f>
        <v/>
      </c>
      <c r="C30">
        <f>C29*(1-1/Parameters!B8)+B30</f>
        <v/>
      </c>
      <c r="D30">
        <f>C30*Parameters!B2*(1-Parameters!B3)</f>
        <v/>
      </c>
      <c r="E30">
        <f>E29+D30</f>
        <v/>
      </c>
      <c r="F30">
        <f>Parameters!B5*SQRT(E30)</f>
        <v/>
      </c>
      <c r="G30">
        <f>(Parameters!B4*D30)/F30</f>
        <v/>
      </c>
      <c r="H30">
        <f>I29*Parameters!B9</f>
        <v/>
      </c>
      <c r="I30">
        <f>I29+G30-H30</f>
        <v/>
      </c>
      <c r="J30">
        <f>Parameters!B4*D30</f>
        <v/>
      </c>
      <c r="K30">
        <f>IF(I30&gt;0,J30/I30,0)</f>
        <v/>
      </c>
    </row>
    <row r="31">
      <c r="A31" t="n">
        <v>30</v>
      </c>
      <c r="B31">
        <f>Parameters!B6 + SIN(30/60*10*PI())*5 + (30/60)*Parameters!B7</f>
        <v/>
      </c>
      <c r="C31">
        <f>C30*(1-1/Parameters!B8)+B31</f>
        <v/>
      </c>
      <c r="D31">
        <f>C31*Parameters!B2*(1-Parameters!B3)</f>
        <v/>
      </c>
      <c r="E31">
        <f>E30+D31</f>
        <v/>
      </c>
      <c r="F31">
        <f>Parameters!B5*SQRT(E31)</f>
        <v/>
      </c>
      <c r="G31">
        <f>(Parameters!B4*D31)/F31</f>
        <v/>
      </c>
      <c r="H31">
        <f>I30*Parameters!B9</f>
        <v/>
      </c>
      <c r="I31">
        <f>I30+G31-H31</f>
        <v/>
      </c>
      <c r="J31">
        <f>Parameters!B4*D31</f>
        <v/>
      </c>
      <c r="K31">
        <f>IF(I31&gt;0,J31/I31,0)</f>
        <v/>
      </c>
    </row>
    <row r="32">
      <c r="A32" t="n">
        <v>31</v>
      </c>
      <c r="B32">
        <f>Parameters!B6 + SIN(31/60*10*PI())*5 + (31/60)*Parameters!B7</f>
        <v/>
      </c>
      <c r="C32">
        <f>C31*(1-1/Parameters!B8)+B32</f>
        <v/>
      </c>
      <c r="D32">
        <f>C32*Parameters!B2*(1-Parameters!B3)</f>
        <v/>
      </c>
      <c r="E32">
        <f>E31+D32</f>
        <v/>
      </c>
      <c r="F32">
        <f>Parameters!B5*SQRT(E32)</f>
        <v/>
      </c>
      <c r="G32">
        <f>(Parameters!B4*D32)/F32</f>
        <v/>
      </c>
      <c r="H32">
        <f>I31*Parameters!B9</f>
        <v/>
      </c>
      <c r="I32">
        <f>I31+G32-H32</f>
        <v/>
      </c>
      <c r="J32">
        <f>Parameters!B4*D32</f>
        <v/>
      </c>
      <c r="K32">
        <f>IF(I32&gt;0,J32/I32,0)</f>
        <v/>
      </c>
    </row>
    <row r="33">
      <c r="A33" t="n">
        <v>32</v>
      </c>
      <c r="B33">
        <f>Parameters!B6 + SIN(32/60*10*PI())*5 + (32/60)*Parameters!B7</f>
        <v/>
      </c>
      <c r="C33">
        <f>C32*(1-1/Parameters!B8)+B33</f>
        <v/>
      </c>
      <c r="D33">
        <f>C33*Parameters!B2*(1-Parameters!B3)</f>
        <v/>
      </c>
      <c r="E33">
        <f>E32+D33</f>
        <v/>
      </c>
      <c r="F33">
        <f>Parameters!B5*SQRT(E33)</f>
        <v/>
      </c>
      <c r="G33">
        <f>(Parameters!B4*D33)/F33</f>
        <v/>
      </c>
      <c r="H33">
        <f>I32*Parameters!B9</f>
        <v/>
      </c>
      <c r="I33">
        <f>I32+G33-H33</f>
        <v/>
      </c>
      <c r="J33">
        <f>Parameters!B4*D33</f>
        <v/>
      </c>
      <c r="K33">
        <f>IF(I33&gt;0,J33/I33,0)</f>
        <v/>
      </c>
    </row>
    <row r="34">
      <c r="A34" t="n">
        <v>33</v>
      </c>
      <c r="B34">
        <f>Parameters!B6 + SIN(33/60*10*PI())*5 + (33/60)*Parameters!B7</f>
        <v/>
      </c>
      <c r="C34">
        <f>C33*(1-1/Parameters!B8)+B34</f>
        <v/>
      </c>
      <c r="D34">
        <f>C34*Parameters!B2*(1-Parameters!B3)</f>
        <v/>
      </c>
      <c r="E34">
        <f>E33+D34</f>
        <v/>
      </c>
      <c r="F34">
        <f>Parameters!B5*SQRT(E34)</f>
        <v/>
      </c>
      <c r="G34">
        <f>(Parameters!B4*D34)/F34</f>
        <v/>
      </c>
      <c r="H34">
        <f>I33*Parameters!B9</f>
        <v/>
      </c>
      <c r="I34">
        <f>I33+G34-H34</f>
        <v/>
      </c>
      <c r="J34">
        <f>Parameters!B4*D34</f>
        <v/>
      </c>
      <c r="K34">
        <f>IF(I34&gt;0,J34/I34,0)</f>
        <v/>
      </c>
    </row>
    <row r="35">
      <c r="A35" t="n">
        <v>34</v>
      </c>
      <c r="B35">
        <f>Parameters!B6 + SIN(34/60*10*PI())*5 + (34/60)*Parameters!B7</f>
        <v/>
      </c>
      <c r="C35">
        <f>C34*(1-1/Parameters!B8)+B35</f>
        <v/>
      </c>
      <c r="D35">
        <f>C35*Parameters!B2*(1-Parameters!B3)</f>
        <v/>
      </c>
      <c r="E35">
        <f>E34+D35</f>
        <v/>
      </c>
      <c r="F35">
        <f>Parameters!B5*SQRT(E35)</f>
        <v/>
      </c>
      <c r="G35">
        <f>(Parameters!B4*D35)/F35</f>
        <v/>
      </c>
      <c r="H35">
        <f>I34*Parameters!B9</f>
        <v/>
      </c>
      <c r="I35">
        <f>I34+G35-H35</f>
        <v/>
      </c>
      <c r="J35">
        <f>Parameters!B4*D35</f>
        <v/>
      </c>
      <c r="K35">
        <f>IF(I35&gt;0,J35/I35,0)</f>
        <v/>
      </c>
    </row>
    <row r="36">
      <c r="A36" t="n">
        <v>35</v>
      </c>
      <c r="B36">
        <f>Parameters!B6 + SIN(35/60*10*PI())*5 + (35/60)*Parameters!B7</f>
        <v/>
      </c>
      <c r="C36">
        <f>C35*(1-1/Parameters!B8)+B36</f>
        <v/>
      </c>
      <c r="D36">
        <f>C36*Parameters!B2*(1-Parameters!B3)</f>
        <v/>
      </c>
      <c r="E36">
        <f>E35+D36</f>
        <v/>
      </c>
      <c r="F36">
        <f>Parameters!B5*SQRT(E36)</f>
        <v/>
      </c>
      <c r="G36">
        <f>(Parameters!B4*D36)/F36</f>
        <v/>
      </c>
      <c r="H36">
        <f>I35*Parameters!B9</f>
        <v/>
      </c>
      <c r="I36">
        <f>I35+G36-H36</f>
        <v/>
      </c>
      <c r="J36">
        <f>Parameters!B4*D36</f>
        <v/>
      </c>
      <c r="K36">
        <f>IF(I36&gt;0,J36/I36,0)</f>
        <v/>
      </c>
    </row>
    <row r="37">
      <c r="A37" t="n">
        <v>36</v>
      </c>
      <c r="B37">
        <f>Parameters!B6 + SIN(36/60*10*PI())*5 + (36/60)*Parameters!B7</f>
        <v/>
      </c>
      <c r="C37">
        <f>C36*(1-1/Parameters!B8)+B37</f>
        <v/>
      </c>
      <c r="D37">
        <f>C37*Parameters!B2*(1-Parameters!B3)</f>
        <v/>
      </c>
      <c r="E37">
        <f>E36+D37</f>
        <v/>
      </c>
      <c r="F37">
        <f>Parameters!B5*SQRT(E37)</f>
        <v/>
      </c>
      <c r="G37">
        <f>(Parameters!B4*D37)/F37</f>
        <v/>
      </c>
      <c r="H37">
        <f>I36*Parameters!B9</f>
        <v/>
      </c>
      <c r="I37">
        <f>I36+G37-H37</f>
        <v/>
      </c>
      <c r="J37">
        <f>Parameters!B4*D37</f>
        <v/>
      </c>
      <c r="K37">
        <f>IF(I37&gt;0,J37/I37,0)</f>
        <v/>
      </c>
    </row>
    <row r="38">
      <c r="A38" t="n">
        <v>37</v>
      </c>
      <c r="B38">
        <f>Parameters!B6 + SIN(37/60*10*PI())*5 + (37/60)*Parameters!B7</f>
        <v/>
      </c>
      <c r="C38">
        <f>C37*(1-1/Parameters!B8)+B38</f>
        <v/>
      </c>
      <c r="D38">
        <f>C38*Parameters!B2*(1-Parameters!B3)</f>
        <v/>
      </c>
      <c r="E38">
        <f>E37+D38</f>
        <v/>
      </c>
      <c r="F38">
        <f>Parameters!B5*SQRT(E38)</f>
        <v/>
      </c>
      <c r="G38">
        <f>(Parameters!B4*D38)/F38</f>
        <v/>
      </c>
      <c r="H38">
        <f>I37*Parameters!B9</f>
        <v/>
      </c>
      <c r="I38">
        <f>I37+G38-H38</f>
        <v/>
      </c>
      <c r="J38">
        <f>Parameters!B4*D38</f>
        <v/>
      </c>
      <c r="K38">
        <f>IF(I38&gt;0,J38/I38,0)</f>
        <v/>
      </c>
    </row>
    <row r="39">
      <c r="A39" t="n">
        <v>38</v>
      </c>
      <c r="B39">
        <f>Parameters!B6 + SIN(38/60*10*PI())*5 + (38/60)*Parameters!B7</f>
        <v/>
      </c>
      <c r="C39">
        <f>C38*(1-1/Parameters!B8)+B39</f>
        <v/>
      </c>
      <c r="D39">
        <f>C39*Parameters!B2*(1-Parameters!B3)</f>
        <v/>
      </c>
      <c r="E39">
        <f>E38+D39</f>
        <v/>
      </c>
      <c r="F39">
        <f>Parameters!B5*SQRT(E39)</f>
        <v/>
      </c>
      <c r="G39">
        <f>(Parameters!B4*D39)/F39</f>
        <v/>
      </c>
      <c r="H39">
        <f>I38*Parameters!B9</f>
        <v/>
      </c>
      <c r="I39">
        <f>I38+G39-H39</f>
        <v/>
      </c>
      <c r="J39">
        <f>Parameters!B4*D39</f>
        <v/>
      </c>
      <c r="K39">
        <f>IF(I39&gt;0,J39/I39,0)</f>
        <v/>
      </c>
    </row>
    <row r="40">
      <c r="A40" t="n">
        <v>39</v>
      </c>
      <c r="B40">
        <f>Parameters!B6 + SIN(39/60*10*PI())*5 + (39/60)*Parameters!B7</f>
        <v/>
      </c>
      <c r="C40">
        <f>C39*(1-1/Parameters!B8)+B40</f>
        <v/>
      </c>
      <c r="D40">
        <f>C40*Parameters!B2*(1-Parameters!B3)</f>
        <v/>
      </c>
      <c r="E40">
        <f>E39+D40</f>
        <v/>
      </c>
      <c r="F40">
        <f>Parameters!B5*SQRT(E40)</f>
        <v/>
      </c>
      <c r="G40">
        <f>(Parameters!B4*D40)/F40</f>
        <v/>
      </c>
      <c r="H40">
        <f>I39*Parameters!B9</f>
        <v/>
      </c>
      <c r="I40">
        <f>I39+G40-H40</f>
        <v/>
      </c>
      <c r="J40">
        <f>Parameters!B4*D40</f>
        <v/>
      </c>
      <c r="K40">
        <f>IF(I40&gt;0,J40/I40,0)</f>
        <v/>
      </c>
    </row>
    <row r="41">
      <c r="A41" t="n">
        <v>40</v>
      </c>
      <c r="B41">
        <f>Parameters!B6 + SIN(40/60*10*PI())*5 + (40/60)*Parameters!B7</f>
        <v/>
      </c>
      <c r="C41">
        <f>C40*(1-1/Parameters!B8)+B41</f>
        <v/>
      </c>
      <c r="D41">
        <f>C41*Parameters!B2*(1-Parameters!B3)</f>
        <v/>
      </c>
      <c r="E41">
        <f>E40+D41</f>
        <v/>
      </c>
      <c r="F41">
        <f>Parameters!B5*SQRT(E41)</f>
        <v/>
      </c>
      <c r="G41">
        <f>(Parameters!B4*D41)/F41</f>
        <v/>
      </c>
      <c r="H41">
        <f>I40*Parameters!B9</f>
        <v/>
      </c>
      <c r="I41">
        <f>I40+G41-H41</f>
        <v/>
      </c>
      <c r="J41">
        <f>Parameters!B4*D41</f>
        <v/>
      </c>
      <c r="K41">
        <f>IF(I41&gt;0,J41/I41,0)</f>
        <v/>
      </c>
    </row>
    <row r="42">
      <c r="A42" t="n">
        <v>41</v>
      </c>
      <c r="B42">
        <f>Parameters!B6 + SIN(41/60*10*PI())*5 + (41/60)*Parameters!B7</f>
        <v/>
      </c>
      <c r="C42">
        <f>C41*(1-1/Parameters!B8)+B42</f>
        <v/>
      </c>
      <c r="D42">
        <f>C42*Parameters!B2*(1-Parameters!B3)</f>
        <v/>
      </c>
      <c r="E42">
        <f>E41+D42</f>
        <v/>
      </c>
      <c r="F42">
        <f>Parameters!B5*SQRT(E42)</f>
        <v/>
      </c>
      <c r="G42">
        <f>(Parameters!B4*D42)/F42</f>
        <v/>
      </c>
      <c r="H42">
        <f>I41*Parameters!B9</f>
        <v/>
      </c>
      <c r="I42">
        <f>I41+G42-H42</f>
        <v/>
      </c>
      <c r="J42">
        <f>Parameters!B4*D42</f>
        <v/>
      </c>
      <c r="K42">
        <f>IF(I42&gt;0,J42/I42,0)</f>
        <v/>
      </c>
    </row>
    <row r="43">
      <c r="A43" t="n">
        <v>42</v>
      </c>
      <c r="B43">
        <f>Parameters!B6 + SIN(42/60*10*PI())*5 + (42/60)*Parameters!B7</f>
        <v/>
      </c>
      <c r="C43">
        <f>C42*(1-1/Parameters!B8)+B43</f>
        <v/>
      </c>
      <c r="D43">
        <f>C43*Parameters!B2*(1-Parameters!B3)</f>
        <v/>
      </c>
      <c r="E43">
        <f>E42+D43</f>
        <v/>
      </c>
      <c r="F43">
        <f>Parameters!B5*SQRT(E43)</f>
        <v/>
      </c>
      <c r="G43">
        <f>(Parameters!B4*D43)/F43</f>
        <v/>
      </c>
      <c r="H43">
        <f>I42*Parameters!B9</f>
        <v/>
      </c>
      <c r="I43">
        <f>I42+G43-H43</f>
        <v/>
      </c>
      <c r="J43">
        <f>Parameters!B4*D43</f>
        <v/>
      </c>
      <c r="K43">
        <f>IF(I43&gt;0,J43/I43,0)</f>
        <v/>
      </c>
    </row>
    <row r="44">
      <c r="A44" t="n">
        <v>43</v>
      </c>
      <c r="B44">
        <f>Parameters!B6 + SIN(43/60*10*PI())*5 + (43/60)*Parameters!B7</f>
        <v/>
      </c>
      <c r="C44">
        <f>C43*(1-1/Parameters!B8)+B44</f>
        <v/>
      </c>
      <c r="D44">
        <f>C44*Parameters!B2*(1-Parameters!B3)</f>
        <v/>
      </c>
      <c r="E44">
        <f>E43+D44</f>
        <v/>
      </c>
      <c r="F44">
        <f>Parameters!B5*SQRT(E44)</f>
        <v/>
      </c>
      <c r="G44">
        <f>(Parameters!B4*D44)/F44</f>
        <v/>
      </c>
      <c r="H44">
        <f>I43*Parameters!B9</f>
        <v/>
      </c>
      <c r="I44">
        <f>I43+G44-H44</f>
        <v/>
      </c>
      <c r="J44">
        <f>Parameters!B4*D44</f>
        <v/>
      </c>
      <c r="K44">
        <f>IF(I44&gt;0,J44/I44,0)</f>
        <v/>
      </c>
    </row>
    <row r="45">
      <c r="A45" t="n">
        <v>44</v>
      </c>
      <c r="B45">
        <f>Parameters!B6 + SIN(44/60*10*PI())*5 + (44/60)*Parameters!B7</f>
        <v/>
      </c>
      <c r="C45">
        <f>C44*(1-1/Parameters!B8)+B45</f>
        <v/>
      </c>
      <c r="D45">
        <f>C45*Parameters!B2*(1-Parameters!B3)</f>
        <v/>
      </c>
      <c r="E45">
        <f>E44+D45</f>
        <v/>
      </c>
      <c r="F45">
        <f>Parameters!B5*SQRT(E45)</f>
        <v/>
      </c>
      <c r="G45">
        <f>(Parameters!B4*D45)/F45</f>
        <v/>
      </c>
      <c r="H45">
        <f>I44*Parameters!B9</f>
        <v/>
      </c>
      <c r="I45">
        <f>I44+G45-H45</f>
        <v/>
      </c>
      <c r="J45">
        <f>Parameters!B4*D45</f>
        <v/>
      </c>
      <c r="K45">
        <f>IF(I45&gt;0,J45/I45,0)</f>
        <v/>
      </c>
    </row>
    <row r="46">
      <c r="A46" t="n">
        <v>45</v>
      </c>
      <c r="B46">
        <f>Parameters!B6 + SIN(45/60*10*PI())*5 + (45/60)*Parameters!B7</f>
        <v/>
      </c>
      <c r="C46">
        <f>C45*(1-1/Parameters!B8)+B46</f>
        <v/>
      </c>
      <c r="D46">
        <f>C46*Parameters!B2*(1-Parameters!B3)</f>
        <v/>
      </c>
      <c r="E46">
        <f>E45+D46</f>
        <v/>
      </c>
      <c r="F46">
        <f>Parameters!B5*SQRT(E46)</f>
        <v/>
      </c>
      <c r="G46">
        <f>(Parameters!B4*D46)/F46</f>
        <v/>
      </c>
      <c r="H46">
        <f>I45*Parameters!B9</f>
        <v/>
      </c>
      <c r="I46">
        <f>I45+G46-H46</f>
        <v/>
      </c>
      <c r="J46">
        <f>Parameters!B4*D46</f>
        <v/>
      </c>
      <c r="K46">
        <f>IF(I46&gt;0,J46/I46,0)</f>
        <v/>
      </c>
    </row>
    <row r="47">
      <c r="A47" t="n">
        <v>46</v>
      </c>
      <c r="B47">
        <f>Parameters!B6 + SIN(46/60*10*PI())*5 + (46/60)*Parameters!B7</f>
        <v/>
      </c>
      <c r="C47">
        <f>C46*(1-1/Parameters!B8)+B47</f>
        <v/>
      </c>
      <c r="D47">
        <f>C47*Parameters!B2*(1-Parameters!B3)</f>
        <v/>
      </c>
      <c r="E47">
        <f>E46+D47</f>
        <v/>
      </c>
      <c r="F47">
        <f>Parameters!B5*SQRT(E47)</f>
        <v/>
      </c>
      <c r="G47">
        <f>(Parameters!B4*D47)/F47</f>
        <v/>
      </c>
      <c r="H47">
        <f>I46*Parameters!B9</f>
        <v/>
      </c>
      <c r="I47">
        <f>I46+G47-H47</f>
        <v/>
      </c>
      <c r="J47">
        <f>Parameters!B4*D47</f>
        <v/>
      </c>
      <c r="K47">
        <f>IF(I47&gt;0,J47/I47,0)</f>
        <v/>
      </c>
    </row>
    <row r="48">
      <c r="A48" t="n">
        <v>47</v>
      </c>
      <c r="B48">
        <f>Parameters!B6 + SIN(47/60*10*PI())*5 + (47/60)*Parameters!B7</f>
        <v/>
      </c>
      <c r="C48">
        <f>C47*(1-1/Parameters!B8)+B48</f>
        <v/>
      </c>
      <c r="D48">
        <f>C48*Parameters!B2*(1-Parameters!B3)</f>
        <v/>
      </c>
      <c r="E48">
        <f>E47+D48</f>
        <v/>
      </c>
      <c r="F48">
        <f>Parameters!B5*SQRT(E48)</f>
        <v/>
      </c>
      <c r="G48">
        <f>(Parameters!B4*D48)/F48</f>
        <v/>
      </c>
      <c r="H48">
        <f>I47*Parameters!B9</f>
        <v/>
      </c>
      <c r="I48">
        <f>I47+G48-H48</f>
        <v/>
      </c>
      <c r="J48">
        <f>Parameters!B4*D48</f>
        <v/>
      </c>
      <c r="K48">
        <f>IF(I48&gt;0,J48/I48,0)</f>
        <v/>
      </c>
    </row>
    <row r="49">
      <c r="A49" t="n">
        <v>48</v>
      </c>
      <c r="B49">
        <f>Parameters!B6 + SIN(48/60*10*PI())*5 + (48/60)*Parameters!B7</f>
        <v/>
      </c>
      <c r="C49">
        <f>C48*(1-1/Parameters!B8)+B49</f>
        <v/>
      </c>
      <c r="D49">
        <f>C49*Parameters!B2*(1-Parameters!B3)</f>
        <v/>
      </c>
      <c r="E49">
        <f>E48+D49</f>
        <v/>
      </c>
      <c r="F49">
        <f>Parameters!B5*SQRT(E49)</f>
        <v/>
      </c>
      <c r="G49">
        <f>(Parameters!B4*D49)/F49</f>
        <v/>
      </c>
      <c r="H49">
        <f>I48*Parameters!B9</f>
        <v/>
      </c>
      <c r="I49">
        <f>I48+G49-H49</f>
        <v/>
      </c>
      <c r="J49">
        <f>Parameters!B4*D49</f>
        <v/>
      </c>
      <c r="K49">
        <f>IF(I49&gt;0,J49/I49,0)</f>
        <v/>
      </c>
    </row>
    <row r="50">
      <c r="A50" t="n">
        <v>49</v>
      </c>
      <c r="B50">
        <f>Parameters!B6 + SIN(49/60*10*PI())*5 + (49/60)*Parameters!B7</f>
        <v/>
      </c>
      <c r="C50">
        <f>C49*(1-1/Parameters!B8)+B50</f>
        <v/>
      </c>
      <c r="D50">
        <f>C50*Parameters!B2*(1-Parameters!B3)</f>
        <v/>
      </c>
      <c r="E50">
        <f>E49+D50</f>
        <v/>
      </c>
      <c r="F50">
        <f>Parameters!B5*SQRT(E50)</f>
        <v/>
      </c>
      <c r="G50">
        <f>(Parameters!B4*D50)/F50</f>
        <v/>
      </c>
      <c r="H50">
        <f>I49*Parameters!B9</f>
        <v/>
      </c>
      <c r="I50">
        <f>I49+G50-H50</f>
        <v/>
      </c>
      <c r="J50">
        <f>Parameters!B4*D50</f>
        <v/>
      </c>
      <c r="K50">
        <f>IF(I50&gt;0,J50/I50,0)</f>
        <v/>
      </c>
    </row>
    <row r="51">
      <c r="A51" t="n">
        <v>50</v>
      </c>
      <c r="B51">
        <f>Parameters!B6 + SIN(50/60*10*PI())*5 + (50/60)*Parameters!B7</f>
        <v/>
      </c>
      <c r="C51">
        <f>C50*(1-1/Parameters!B8)+B51</f>
        <v/>
      </c>
      <c r="D51">
        <f>C51*Parameters!B2*(1-Parameters!B3)</f>
        <v/>
      </c>
      <c r="E51">
        <f>E50+D51</f>
        <v/>
      </c>
      <c r="F51">
        <f>Parameters!B5*SQRT(E51)</f>
        <v/>
      </c>
      <c r="G51">
        <f>(Parameters!B4*D51)/F51</f>
        <v/>
      </c>
      <c r="H51">
        <f>I50*Parameters!B9</f>
        <v/>
      </c>
      <c r="I51">
        <f>I50+G51-H51</f>
        <v/>
      </c>
      <c r="J51">
        <f>Parameters!B4*D51</f>
        <v/>
      </c>
      <c r="K51">
        <f>IF(I51&gt;0,J51/I51,0)</f>
        <v/>
      </c>
    </row>
    <row r="52">
      <c r="A52" t="n">
        <v>51</v>
      </c>
      <c r="B52">
        <f>Parameters!B6 + SIN(51/60*10*PI())*5 + (51/60)*Parameters!B7</f>
        <v/>
      </c>
      <c r="C52">
        <f>C51*(1-1/Parameters!B8)+B52</f>
        <v/>
      </c>
      <c r="D52">
        <f>C52*Parameters!B2*(1-Parameters!B3)</f>
        <v/>
      </c>
      <c r="E52">
        <f>E51+D52</f>
        <v/>
      </c>
      <c r="F52">
        <f>Parameters!B5*SQRT(E52)</f>
        <v/>
      </c>
      <c r="G52">
        <f>(Parameters!B4*D52)/F52</f>
        <v/>
      </c>
      <c r="H52">
        <f>I51*Parameters!B9</f>
        <v/>
      </c>
      <c r="I52">
        <f>I51+G52-H52</f>
        <v/>
      </c>
      <c r="J52">
        <f>Parameters!B4*D52</f>
        <v/>
      </c>
      <c r="K52">
        <f>IF(I52&gt;0,J52/I52,0)</f>
        <v/>
      </c>
    </row>
    <row r="53">
      <c r="A53" t="n">
        <v>52</v>
      </c>
      <c r="B53">
        <f>Parameters!B6 + SIN(52/60*10*PI())*5 + (52/60)*Parameters!B7</f>
        <v/>
      </c>
      <c r="C53">
        <f>C52*(1-1/Parameters!B8)+B53</f>
        <v/>
      </c>
      <c r="D53">
        <f>C53*Parameters!B2*(1-Parameters!B3)</f>
        <v/>
      </c>
      <c r="E53">
        <f>E52+D53</f>
        <v/>
      </c>
      <c r="F53">
        <f>Parameters!B5*SQRT(E53)</f>
        <v/>
      </c>
      <c r="G53">
        <f>(Parameters!B4*D53)/F53</f>
        <v/>
      </c>
      <c r="H53">
        <f>I52*Parameters!B9</f>
        <v/>
      </c>
      <c r="I53">
        <f>I52+G53-H53</f>
        <v/>
      </c>
      <c r="J53">
        <f>Parameters!B4*D53</f>
        <v/>
      </c>
      <c r="K53">
        <f>IF(I53&gt;0,J53/I53,0)</f>
        <v/>
      </c>
    </row>
    <row r="54">
      <c r="A54" t="n">
        <v>53</v>
      </c>
      <c r="B54">
        <f>Parameters!B6 + SIN(53/60*10*PI())*5 + (53/60)*Parameters!B7</f>
        <v/>
      </c>
      <c r="C54">
        <f>C53*(1-1/Parameters!B8)+B54</f>
        <v/>
      </c>
      <c r="D54">
        <f>C54*Parameters!B2*(1-Parameters!B3)</f>
        <v/>
      </c>
      <c r="E54">
        <f>E53+D54</f>
        <v/>
      </c>
      <c r="F54">
        <f>Parameters!B5*SQRT(E54)</f>
        <v/>
      </c>
      <c r="G54">
        <f>(Parameters!B4*D54)/F54</f>
        <v/>
      </c>
      <c r="H54">
        <f>I53*Parameters!B9</f>
        <v/>
      </c>
      <c r="I54">
        <f>I53+G54-H54</f>
        <v/>
      </c>
      <c r="J54">
        <f>Parameters!B4*D54</f>
        <v/>
      </c>
      <c r="K54">
        <f>IF(I54&gt;0,J54/I54,0)</f>
        <v/>
      </c>
    </row>
    <row r="55">
      <c r="A55" t="n">
        <v>54</v>
      </c>
      <c r="B55">
        <f>Parameters!B6 + SIN(54/60*10*PI())*5 + (54/60)*Parameters!B7</f>
        <v/>
      </c>
      <c r="C55">
        <f>C54*(1-1/Parameters!B8)+B55</f>
        <v/>
      </c>
      <c r="D55">
        <f>C55*Parameters!B2*(1-Parameters!B3)</f>
        <v/>
      </c>
      <c r="E55">
        <f>E54+D55</f>
        <v/>
      </c>
      <c r="F55">
        <f>Parameters!B5*SQRT(E55)</f>
        <v/>
      </c>
      <c r="G55">
        <f>(Parameters!B4*D55)/F55</f>
        <v/>
      </c>
      <c r="H55">
        <f>I54*Parameters!B9</f>
        <v/>
      </c>
      <c r="I55">
        <f>I54+G55-H55</f>
        <v/>
      </c>
      <c r="J55">
        <f>Parameters!B4*D55</f>
        <v/>
      </c>
      <c r="K55">
        <f>IF(I55&gt;0,J55/I55,0)</f>
        <v/>
      </c>
    </row>
    <row r="56">
      <c r="A56" t="n">
        <v>55</v>
      </c>
      <c r="B56">
        <f>Parameters!B6 + SIN(55/60*10*PI())*5 + (55/60)*Parameters!B7</f>
        <v/>
      </c>
      <c r="C56">
        <f>C55*(1-1/Parameters!B8)+B56</f>
        <v/>
      </c>
      <c r="D56">
        <f>C56*Parameters!B2*(1-Parameters!B3)</f>
        <v/>
      </c>
      <c r="E56">
        <f>E55+D56</f>
        <v/>
      </c>
      <c r="F56">
        <f>Parameters!B5*SQRT(E56)</f>
        <v/>
      </c>
      <c r="G56">
        <f>(Parameters!B4*D56)/F56</f>
        <v/>
      </c>
      <c r="H56">
        <f>I55*Parameters!B9</f>
        <v/>
      </c>
      <c r="I56">
        <f>I55+G56-H56</f>
        <v/>
      </c>
      <c r="J56">
        <f>Parameters!B4*D56</f>
        <v/>
      </c>
      <c r="K56">
        <f>IF(I56&gt;0,J56/I56,0)</f>
        <v/>
      </c>
    </row>
    <row r="57">
      <c r="A57" t="n">
        <v>56</v>
      </c>
      <c r="B57">
        <f>Parameters!B6 + SIN(56/60*10*PI())*5 + (56/60)*Parameters!B7</f>
        <v/>
      </c>
      <c r="C57">
        <f>C56*(1-1/Parameters!B8)+B57</f>
        <v/>
      </c>
      <c r="D57">
        <f>C57*Parameters!B2*(1-Parameters!B3)</f>
        <v/>
      </c>
      <c r="E57">
        <f>E56+D57</f>
        <v/>
      </c>
      <c r="F57">
        <f>Parameters!B5*SQRT(E57)</f>
        <v/>
      </c>
      <c r="G57">
        <f>(Parameters!B4*D57)/F57</f>
        <v/>
      </c>
      <c r="H57">
        <f>I56*Parameters!B9</f>
        <v/>
      </c>
      <c r="I57">
        <f>I56+G57-H57</f>
        <v/>
      </c>
      <c r="J57">
        <f>Parameters!B4*D57</f>
        <v/>
      </c>
      <c r="K57">
        <f>IF(I57&gt;0,J57/I57,0)</f>
        <v/>
      </c>
    </row>
    <row r="58">
      <c r="A58" t="n">
        <v>57</v>
      </c>
      <c r="B58">
        <f>Parameters!B6 + SIN(57/60*10*PI())*5 + (57/60)*Parameters!B7</f>
        <v/>
      </c>
      <c r="C58">
        <f>C57*(1-1/Parameters!B8)+B58</f>
        <v/>
      </c>
      <c r="D58">
        <f>C58*Parameters!B2*(1-Parameters!B3)</f>
        <v/>
      </c>
      <c r="E58">
        <f>E57+D58</f>
        <v/>
      </c>
      <c r="F58">
        <f>Parameters!B5*SQRT(E58)</f>
        <v/>
      </c>
      <c r="G58">
        <f>(Parameters!B4*D58)/F58</f>
        <v/>
      </c>
      <c r="H58">
        <f>I57*Parameters!B9</f>
        <v/>
      </c>
      <c r="I58">
        <f>I57+G58-H58</f>
        <v/>
      </c>
      <c r="J58">
        <f>Parameters!B4*D58</f>
        <v/>
      </c>
      <c r="K58">
        <f>IF(I58&gt;0,J58/I58,0)</f>
        <v/>
      </c>
    </row>
    <row r="59">
      <c r="A59" t="n">
        <v>58</v>
      </c>
      <c r="B59">
        <f>Parameters!B6 + SIN(58/60*10*PI())*5 + (58/60)*Parameters!B7</f>
        <v/>
      </c>
      <c r="C59">
        <f>C58*(1-1/Parameters!B8)+B59</f>
        <v/>
      </c>
      <c r="D59">
        <f>C59*Parameters!B2*(1-Parameters!B3)</f>
        <v/>
      </c>
      <c r="E59">
        <f>E58+D59</f>
        <v/>
      </c>
      <c r="F59">
        <f>Parameters!B5*SQRT(E59)</f>
        <v/>
      </c>
      <c r="G59">
        <f>(Parameters!B4*D59)/F59</f>
        <v/>
      </c>
      <c r="H59">
        <f>I58*Parameters!B9</f>
        <v/>
      </c>
      <c r="I59">
        <f>I58+G59-H59</f>
        <v/>
      </c>
      <c r="J59">
        <f>Parameters!B4*D59</f>
        <v/>
      </c>
      <c r="K59">
        <f>IF(I59&gt;0,J59/I59,0)</f>
        <v/>
      </c>
    </row>
    <row r="60">
      <c r="A60" t="n">
        <v>59</v>
      </c>
      <c r="B60">
        <f>Parameters!B6 + SIN(59/60*10*PI())*5 + (59/60)*Parameters!B7</f>
        <v/>
      </c>
      <c r="C60">
        <f>C59*(1-1/Parameters!B8)+B60</f>
        <v/>
      </c>
      <c r="D60">
        <f>C60*Parameters!B2*(1-Parameters!B3)</f>
        <v/>
      </c>
      <c r="E60">
        <f>E59+D60</f>
        <v/>
      </c>
      <c r="F60">
        <f>Parameters!B5*SQRT(E60)</f>
        <v/>
      </c>
      <c r="G60">
        <f>(Parameters!B4*D60)/F60</f>
        <v/>
      </c>
      <c r="H60">
        <f>I59*Parameters!B9</f>
        <v/>
      </c>
      <c r="I60">
        <f>I59+G60-H60</f>
        <v/>
      </c>
      <c r="J60">
        <f>Parameters!B4*D60</f>
        <v/>
      </c>
      <c r="K60">
        <f>IF(I60&gt;0,J60/I60,0)</f>
        <v/>
      </c>
    </row>
    <row r="61">
      <c r="A61" t="n">
        <v>60</v>
      </c>
      <c r="B61">
        <f>Parameters!B6 + SIN(60/60*10*PI())*5 + (60/60)*Parameters!B7</f>
        <v/>
      </c>
      <c r="C61">
        <f>C60*(1-1/Parameters!B8)+B61</f>
        <v/>
      </c>
      <c r="D61">
        <f>C61*Parameters!B2*(1-Parameters!B3)</f>
        <v/>
      </c>
      <c r="E61">
        <f>E60+D61</f>
        <v/>
      </c>
      <c r="F61">
        <f>Parameters!B5*SQRT(E61)</f>
        <v/>
      </c>
      <c r="G61">
        <f>(Parameters!B4*D61)/F61</f>
        <v/>
      </c>
      <c r="H61">
        <f>I60*Parameters!B9</f>
        <v/>
      </c>
      <c r="I61">
        <f>I60+G61-H61</f>
        <v/>
      </c>
      <c r="J61">
        <f>Parameters!B4*D61</f>
        <v/>
      </c>
      <c r="K61">
        <f>IF(I61&gt;0,J61/I61,0)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2026-01-05T23:34:56Z</dcterms:created>
  <dcterms:modified xmlns:dcterms="http://purl.org/dc/terms/" xmlns:xsi="http://www.w3.org/2001/XMLSchema-instance" xsi:type="dcterms:W3CDTF">2026-01-05T23:34:56Z</dcterms:modified>
</cp:coreProperties>
</file>